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iyoo\Desktop\Personal Budget\"/>
    </mc:Choice>
  </mc:AlternateContent>
  <xr:revisionPtr revIDLastSave="0" documentId="13_ncr:1_{4CAD5A49-9C0E-4BAC-B644-453DA89C46C4}" xr6:coauthVersionLast="47" xr6:coauthVersionMax="47" xr10:uidLastSave="{00000000-0000-0000-0000-000000000000}"/>
  <bookViews>
    <workbookView xWindow="-120" yWindow="-120" windowWidth="29040" windowHeight="15840" activeTab="1" xr2:uid="{8260FD87-7BF0-4A52-870E-592E67B75EB3}"/>
  </bookViews>
  <sheets>
    <sheet name="Sheet1" sheetId="1" r:id="rId1"/>
    <sheet name="Transactions" sheetId="5" r:id="rId2"/>
  </sheets>
  <definedNames>
    <definedName name="ExternalData_1" localSheetId="1" hidden="1">Transactions!$A$1:$C$44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  <c r="G22" i="1"/>
  <c r="G25" i="1"/>
  <c r="G26" i="1"/>
  <c r="G33" i="1"/>
  <c r="G32" i="1"/>
  <c r="G31" i="1"/>
  <c r="G30" i="1"/>
  <c r="G29" i="1"/>
  <c r="G28" i="1"/>
  <c r="G27" i="1"/>
  <c r="G24" i="1"/>
  <c r="G23" i="1"/>
  <c r="F34" i="1"/>
  <c r="E34" i="1"/>
  <c r="D34" i="1"/>
  <c r="C34" i="1"/>
  <c r="G34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F693C4-6408-4D3D-A9BE-3C8B27AE39B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<sst xmlns="http://schemas.openxmlformats.org/spreadsheetml/2006/main" count="59" uniqueCount="12">
  <si>
    <t>Entertainment</t>
  </si>
  <si>
    <t>Sum of Total</t>
  </si>
  <si>
    <t>Transaction Category</t>
  </si>
  <si>
    <t>Month</t>
  </si>
  <si>
    <t>Grand Total</t>
  </si>
  <si>
    <t>Food</t>
  </si>
  <si>
    <t>Shopping</t>
  </si>
  <si>
    <t>Transportation</t>
  </si>
  <si>
    <t>Utilities</t>
  </si>
  <si>
    <t>Sum of Grand Total</t>
  </si>
  <si>
    <t>TransactionCategory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</si>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</sst>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0" fontId="0" fillId="0" borderId="2" xfId="0" applyBorder="1"/>
    <xf numFmtId="164" fontId="0" fillId="0" borderId="2" xfId="0" applyNumberFormat="1" applyBorder="1"/>
    <xf numFmtId="0" fontId="1" fillId="2" borderId="0" xfId="0" applyFont="1" applyFill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64" formatCode="&quot;$&quot;#,##0.00"/>
    </dxf>
  </dxfs>
  <tableStyles count="0" defaultTableStyle="TableStyleMedium2" defaultPivotStyle="PivotStyleLight16"/>
  <colors>
    <mruColors>
      <color rgb="FF000099"/>
      <color rgb="FF0000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[Personal Budget.xlsx]Sheet1!PivotTable3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Spending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Sheet1!$A$2:$A$14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Sheet1!$B$2:$B$14</c:f>
              <c:numCache>
                <c:formatCode>"$"#,##0.00</c:formatCode>
                <c:ptCount val="12"/>
                <c:pt idx="0">
                  <c:v>780.99</c:v>
                </c:pt>
                <c:pt idx="1">
                  <c:v>320</c:v>
                </c:pt>
                <c:pt idx="2">
                  <c:v>256</c:v>
                </c:pt>
                <c:pt idx="3">
                  <c:v>318.14</c:v>
                </c:pt>
                <c:pt idx="4">
                  <c:v>241</c:v>
                </c:pt>
                <c:pt idx="5">
                  <c:v>350</c:v>
                </c:pt>
                <c:pt idx="6">
                  <c:v>320</c:v>
                </c:pt>
                <c:pt idx="7">
                  <c:v>240.36</c:v>
                </c:pt>
                <c:pt idx="8">
                  <c:v>125</c:v>
                </c:pt>
                <c:pt idx="9">
                  <c:v>163.36000000000001</c:v>
                </c:pt>
                <c:pt idx="10">
                  <c:v>130</c:v>
                </c:pt>
                <c:pt idx="11">
                  <c:v>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2E-4023-A6BA-3CFD24E9D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3383359"/>
        <c:axId val="1203381439"/>
      </c:lineChart>
      <c:catAx>
        <c:axId val="120338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381439"/>
        <c:crosses val="autoZero"/>
        <c:auto val="1"/>
        <c:lblAlgn val="ctr"/>
        <c:lblOffset val="100"/>
        <c:noMultiLvlLbl val="0"/>
      </c:catAx>
      <c:valAx>
        <c:axId val="120338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383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Total Spending By</a:t>
            </a:r>
            <a:r>
              <a:rPr lang="en-CA" baseline="0"/>
              <a:t> Transaction Category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Sheet1!$B$20:$B$21</c:f>
              <c:strCache>
                <c:ptCount val="2"/>
                <c:pt idx="0">
                  <c:v>Transaction Category</c:v>
                </c:pt>
                <c:pt idx="1">
                  <c:v>Entertainment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Sheet1!$A$22:$A$34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Grand Total</c:v>
                </c:pt>
              </c:strCache>
            </c:strRef>
          </c:cat>
          <c:val>
            <c:numRef>
              <c:f>Sheet1!$B$22:$B$34</c:f>
              <c:numCache>
                <c:formatCode>"$"#,##0.00</c:formatCode>
                <c:ptCount val="13"/>
                <c:pt idx="0">
                  <c:v>120</c:v>
                </c:pt>
                <c:pt idx="3">
                  <c:v>50</c:v>
                </c:pt>
                <c:pt idx="5">
                  <c:v>20</c:v>
                </c:pt>
                <c:pt idx="7">
                  <c:v>150</c:v>
                </c:pt>
                <c:pt idx="10">
                  <c:v>20</c:v>
                </c:pt>
                <c:pt idx="11">
                  <c:v>15</c:v>
                </c:pt>
                <c:pt idx="12">
                  <c:v>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53-43B3-8E2E-36C9829FB9A1}"/>
            </c:ext>
          </c:extLst>
        </c:ser>
        <c:ser>
          <c:idx val="1"/>
          <c:order val="1"/>
          <c:tx>
            <c:strRef>
              <c:f>Sheet1!$C$20:$C$21</c:f>
              <c:strCache>
                <c:ptCount val="2"/>
                <c:pt idx="0">
                  <c:v>Transaction Category</c:v>
                </c:pt>
                <c:pt idx="1">
                  <c:v>Food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Sheet1!$A$22:$A$34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Grand Total</c:v>
                </c:pt>
              </c:strCache>
            </c:strRef>
          </c:cat>
          <c:val>
            <c:numRef>
              <c:f>Sheet1!$C$22:$C$34</c:f>
              <c:numCache>
                <c:formatCode>"$"#,##0.00</c:formatCode>
                <c:ptCount val="13"/>
                <c:pt idx="0">
                  <c:v>220</c:v>
                </c:pt>
                <c:pt idx="1">
                  <c:v>150</c:v>
                </c:pt>
                <c:pt idx="2">
                  <c:v>50</c:v>
                </c:pt>
                <c:pt idx="3">
                  <c:v>25</c:v>
                </c:pt>
                <c:pt idx="4">
                  <c:v>35</c:v>
                </c:pt>
                <c:pt idx="5">
                  <c:v>80</c:v>
                </c:pt>
                <c:pt idx="6">
                  <c:v>250</c:v>
                </c:pt>
                <c:pt idx="7">
                  <c:v>10.36</c:v>
                </c:pt>
                <c:pt idx="8">
                  <c:v>25</c:v>
                </c:pt>
                <c:pt idx="9">
                  <c:v>13.36</c:v>
                </c:pt>
                <c:pt idx="10">
                  <c:v>60</c:v>
                </c:pt>
                <c:pt idx="11">
                  <c:v>200</c:v>
                </c:pt>
                <c:pt idx="12">
                  <c:v>1118.72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53-43B3-8E2E-36C9829FB9A1}"/>
            </c:ext>
          </c:extLst>
        </c:ser>
        <c:ser>
          <c:idx val="2"/>
          <c:order val="2"/>
          <c:tx>
            <c:strRef>
              <c:f>Sheet1!$D$20:$D$21</c:f>
              <c:strCache>
                <c:ptCount val="2"/>
                <c:pt idx="0">
                  <c:v>Transaction Category</c:v>
                </c:pt>
                <c:pt idx="1">
                  <c:v>Shopping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Sheet1!$A$22:$A$34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Grand Total</c:v>
                </c:pt>
              </c:strCache>
            </c:strRef>
          </c:cat>
          <c:val>
            <c:numRef>
              <c:f>Sheet1!$D$22:$D$34</c:f>
              <c:numCache>
                <c:formatCode>"$"#,##0.00</c:formatCode>
                <c:ptCount val="13"/>
                <c:pt idx="0">
                  <c:v>234.99</c:v>
                </c:pt>
                <c:pt idx="3">
                  <c:v>37.14</c:v>
                </c:pt>
                <c:pt idx="6">
                  <c:v>20</c:v>
                </c:pt>
                <c:pt idx="7">
                  <c:v>30</c:v>
                </c:pt>
                <c:pt idx="9">
                  <c:v>80</c:v>
                </c:pt>
                <c:pt idx="11">
                  <c:v>300</c:v>
                </c:pt>
                <c:pt idx="12">
                  <c:v>702.13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53-43B3-8E2E-36C9829FB9A1}"/>
            </c:ext>
          </c:extLst>
        </c:ser>
        <c:ser>
          <c:idx val="3"/>
          <c:order val="3"/>
          <c:tx>
            <c:strRef>
              <c:f>Sheet1!$E$20:$E$21</c:f>
              <c:strCache>
                <c:ptCount val="2"/>
                <c:pt idx="0">
                  <c:v>Transaction Category</c:v>
                </c:pt>
                <c:pt idx="1">
                  <c:v>Transportation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Sheet1!$A$22:$A$34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Grand Total</c:v>
                </c:pt>
              </c:strCache>
            </c:strRef>
          </c:cat>
          <c:val>
            <c:numRef>
              <c:f>Sheet1!$E$22:$E$34</c:f>
              <c:numCache>
                <c:formatCode>"$"#,##0.00</c:formatCode>
                <c:ptCount val="13"/>
                <c:pt idx="0">
                  <c:v>156</c:v>
                </c:pt>
                <c:pt idx="1">
                  <c:v>120</c:v>
                </c:pt>
                <c:pt idx="2">
                  <c:v>156</c:v>
                </c:pt>
                <c:pt idx="3">
                  <c:v>156</c:v>
                </c:pt>
                <c:pt idx="4">
                  <c:v>156</c:v>
                </c:pt>
                <c:pt idx="5">
                  <c:v>200</c:v>
                </c:pt>
                <c:pt idx="9">
                  <c:v>20</c:v>
                </c:pt>
                <c:pt idx="12">
                  <c:v>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53-43B3-8E2E-36C9829FB9A1}"/>
            </c:ext>
          </c:extLst>
        </c:ser>
        <c:ser>
          <c:idx val="4"/>
          <c:order val="4"/>
          <c:tx>
            <c:strRef>
              <c:f>Sheet1!$F$20:$F$21</c:f>
              <c:strCache>
                <c:ptCount val="2"/>
                <c:pt idx="0">
                  <c:v>Transaction Category</c:v>
                </c:pt>
                <c:pt idx="1">
                  <c:v>Utilities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Sheet1!$A$22:$A$34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Grand Total</c:v>
                </c:pt>
              </c:strCache>
            </c:strRef>
          </c:cat>
          <c:val>
            <c:numRef>
              <c:f>Sheet1!$F$22:$F$34</c:f>
              <c:numCache>
                <c:formatCode>"$"#,##0.00</c:formatCode>
                <c:ptCount val="13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100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53-43B3-8E2E-36C9829FB9A1}"/>
            </c:ext>
          </c:extLst>
        </c:ser>
        <c:ser>
          <c:idx val="5"/>
          <c:order val="5"/>
          <c:tx>
            <c:strRef>
              <c:f>Sheet1!$G$20:$G$21</c:f>
              <c:strCache>
                <c:ptCount val="2"/>
                <c:pt idx="0">
                  <c:v>Transaction Category</c:v>
                </c:pt>
                <c:pt idx="1">
                  <c:v>Grand 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Sheet1!$A$22:$A$34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Grand Total</c:v>
                </c:pt>
              </c:strCache>
            </c:strRef>
          </c:cat>
          <c:val>
            <c:numRef>
              <c:f>Sheet1!$G$22:$G$34</c:f>
              <c:numCache>
                <c:formatCode>"$"#,##0.00</c:formatCode>
                <c:ptCount val="13"/>
                <c:pt idx="0">
                  <c:v>780.99</c:v>
                </c:pt>
                <c:pt idx="1">
                  <c:v>320</c:v>
                </c:pt>
                <c:pt idx="2">
                  <c:v>256</c:v>
                </c:pt>
                <c:pt idx="3">
                  <c:v>318.14</c:v>
                </c:pt>
                <c:pt idx="4">
                  <c:v>241</c:v>
                </c:pt>
                <c:pt idx="5">
                  <c:v>350</c:v>
                </c:pt>
                <c:pt idx="6">
                  <c:v>320</c:v>
                </c:pt>
                <c:pt idx="7">
                  <c:v>240.36</c:v>
                </c:pt>
                <c:pt idx="8">
                  <c:v>125</c:v>
                </c:pt>
                <c:pt idx="9">
                  <c:v>163.36000000000001</c:v>
                </c:pt>
                <c:pt idx="10">
                  <c:v>130</c:v>
                </c:pt>
                <c:pt idx="11">
                  <c:v>565</c:v>
                </c:pt>
                <c:pt idx="12">
                  <c:v>3809.85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C53-43B3-8E2E-36C9829FB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8369135"/>
        <c:axId val="1298370095"/>
      </c:lineChart>
      <c:catAx>
        <c:axId val="129836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370095"/>
        <c:crosses val="autoZero"/>
        <c:auto val="1"/>
        <c:lblAlgn val="ctr"/>
        <c:lblOffset val="100"/>
        <c:noMultiLvlLbl val="0"/>
      </c:catAx>
      <c:valAx>
        <c:axId val="129837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369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95250</xdr:rowOff>
    </xdr:from>
    <xdr:to>
      <xdr:col>14</xdr:col>
      <xdr:colOff>571500</xdr:colOff>
      <xdr:row>15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78A733-CC4D-590B-F75D-3CF2356DBE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180975</xdr:colOff>
      <xdr:row>17</xdr:row>
      <xdr:rowOff>138112</xdr:rowOff>
    </xdr:from>
    <xdr:to>
      <xdr:col>15</xdr:col>
      <xdr:colOff>485775</xdr:colOff>
      <xdr:row>32</xdr:row>
      <xdr:rowOff>23812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EFD62D-62D1-C478-8566-4606153AE4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yoon Kim" refreshedDate="45996.831596180557" createdVersion="8" refreshedVersion="8" minRefreshableVersion="3" recordCount="13" xr:uid="{64C6886A-0763-42F7-A21E-54FA6FBA3419}">
  <cacheSource type="worksheet">
    <worksheetSource ref="A21:G34" sheet="Sheet1"/>
  </cacheSource>
  <cacheFields count="7">
    <cacheField name="Month" numFmtId="0">
      <sharedItems containsMixedTypes="1" containsNumber="1" containsInteger="1" minValue="1" maxValue="12" count="13">
        <n v="1"/>
        <n v="2"/>
        <n v="3"/>
        <n v="4"/>
        <n v="5"/>
        <n v="6"/>
        <n v="7"/>
        <n v="8"/>
        <n v="9"/>
        <n v="10"/>
        <n v="11"/>
        <n v="12"/>
        <s v="Grand Total"/>
      </sharedItems>
    </cacheField>
    <cacheField name="Entertainment" numFmtId="164">
      <sharedItems containsString="0" containsBlank="1" containsNumber="1" containsInteger="1" minValue="15" maxValue="375"/>
    </cacheField>
    <cacheField name="Food" numFmtId="164">
      <sharedItems containsSemiMixedTypes="0" containsString="0" containsNumber="1" minValue="10.36" maxValue="1118.72"/>
    </cacheField>
    <cacheField name="Shopping" numFmtId="164">
      <sharedItems containsString="0" containsBlank="1" containsNumber="1" minValue="20" maxValue="702.13"/>
    </cacheField>
    <cacheField name="Transportation" numFmtId="164">
      <sharedItems containsString="0" containsBlank="1" containsNumber="1" containsInteger="1" minValue="20" maxValue="964"/>
    </cacheField>
    <cacheField name="Utilities" numFmtId="164">
      <sharedItems containsSemiMixedTypes="0" containsString="0" containsNumber="1" containsInteger="1" minValue="50" maxValue="650"/>
    </cacheField>
    <cacheField name="Grand Total" numFmtId="164">
      <sharedItems containsSemiMixedTypes="0" containsString="0" containsNumber="1" minValue="125" maxValue="3809.85" count="12">
        <n v="780.99"/>
        <n v="320"/>
        <n v="256"/>
        <n v="318.14"/>
        <n v="241"/>
        <n v="350"/>
        <n v="240.36"/>
        <n v="125"/>
        <n v="163.36000000000001"/>
        <n v="130"/>
        <n v="565"/>
        <n v="3809.8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n v="120"/>
    <n v="220"/>
    <n v="234.99"/>
    <n v="156"/>
    <n v="50"/>
    <x v="0"/>
  </r>
  <r>
    <x v="1"/>
    <m/>
    <n v="150"/>
    <m/>
    <n v="120"/>
    <n v="50"/>
    <x v="1"/>
  </r>
  <r>
    <x v="2"/>
    <m/>
    <n v="50"/>
    <m/>
    <n v="156"/>
    <n v="50"/>
    <x v="2"/>
  </r>
  <r>
    <x v="3"/>
    <n v="50"/>
    <n v="25"/>
    <n v="37.14"/>
    <n v="156"/>
    <n v="50"/>
    <x v="3"/>
  </r>
  <r>
    <x v="4"/>
    <m/>
    <n v="35"/>
    <m/>
    <n v="156"/>
    <n v="50"/>
    <x v="4"/>
  </r>
  <r>
    <x v="5"/>
    <n v="20"/>
    <n v="80"/>
    <m/>
    <n v="200"/>
    <n v="50"/>
    <x v="5"/>
  </r>
  <r>
    <x v="6"/>
    <m/>
    <n v="250"/>
    <n v="20"/>
    <m/>
    <n v="50"/>
    <x v="1"/>
  </r>
  <r>
    <x v="7"/>
    <n v="150"/>
    <n v="10.36"/>
    <n v="30"/>
    <m/>
    <n v="50"/>
    <x v="6"/>
  </r>
  <r>
    <x v="8"/>
    <m/>
    <n v="25"/>
    <m/>
    <m/>
    <n v="100"/>
    <x v="7"/>
  </r>
  <r>
    <x v="9"/>
    <m/>
    <n v="13.36"/>
    <n v="80"/>
    <n v="20"/>
    <n v="50"/>
    <x v="8"/>
  </r>
  <r>
    <x v="10"/>
    <n v="20"/>
    <n v="60"/>
    <m/>
    <m/>
    <n v="50"/>
    <x v="9"/>
  </r>
  <r>
    <x v="11"/>
    <n v="15"/>
    <n v="200"/>
    <n v="300"/>
    <m/>
    <n v="50"/>
    <x v="10"/>
  </r>
  <r>
    <x v="12"/>
    <n v="375"/>
    <n v="1118.72"/>
    <n v="702.13"/>
    <n v="964"/>
    <n v="650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EF2697-B9C5-4FEB-8455-1F0D388C454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Month">
  <location ref="A1:B14" firstHeaderRow="1" firstDataRow="1" firstDataCol="1"/>
  <pivotFields count="7"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n="(blank)" h="1" x="12"/>
        <item t="default"/>
      </items>
    </pivotField>
    <pivotField showAll="0"/>
    <pivotField numFmtId="164" showAll="0"/>
    <pivotField showAll="0"/>
    <pivotField showAll="0"/>
    <pivotField numFmtId="164" showAll="0"/>
    <pivotField dataField="1" numFmtId="164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Grand Total" fld="6" baseField="0" baseItem="0" numFmtId="164"/>
  </dataFields>
  <formats count="1">
    <format dxfId="1">
      <pivotArea collapsedLevelsAreSubtotals="1" fieldPosition="0">
        <references count="1">
          <reference field="0" count="1">
            <x v="12"/>
          </reference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F1B5337-BE81-43F3-A0AC-9BA815B8F609}" autoFormatId="16" applyNumberFormats="0" applyBorderFormats="0" applyFontFormats="0" applyPatternFormats="0" applyAlignmentFormats="0" applyWidthHeightFormats="0">
  <queryTableRefresh nextId="4">
    <queryTableFields count="3">
      <queryTableField id="1" name="Month" tableColumnId="1"/>
      <queryTableField id="2" name="TransactionCategory" tableColumnId="2"/>
      <queryTableField id="3" name="Amou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85042E-350D-4F1C-B0A7-4C35DBCB9567}" name="Table1_1" displayName="Table1_1" ref="A1:C44" tableType="queryTable" totalsRowShown="0">
  <autoFilter ref="A1:C44" xr:uid="{2A85042E-350D-4F1C-B0A7-4C35DBCB9567}"/>
  <tableColumns count="3">
    <tableColumn id="1" xr3:uid="{B4235D48-CEA8-4977-89BC-5FA998631BBD}" uniqueName="1" name="Month" queryTableFieldId="1"/>
    <tableColumn id="2" xr3:uid="{9AA22F9D-35E7-4947-A243-560097486C4E}" uniqueName="2" name="TransactionCategory" queryTableFieldId="2" dataDxfId="0"/>
    <tableColumn id="3" xr3:uid="{41C9EC39-5AA6-4169-815B-EC36AC1A774F}" uniqueName="3" name="Amount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21EA6-CF14-4A1E-9B3A-806C41ACA880}">
  <dimension ref="A1:G34"/>
  <sheetViews>
    <sheetView zoomScaleNormal="100" workbookViewId="0">
      <selection activeCell="R29" sqref="R29"/>
    </sheetView>
  </sheetViews>
  <sheetFormatPr defaultRowHeight="15" x14ac:dyDescent="0.25"/>
  <cols>
    <col min="1" max="1" width="13.42578125" bestFit="1" customWidth="1"/>
    <col min="2" max="2" width="18.28515625" bestFit="1" customWidth="1"/>
    <col min="3" max="3" width="10.140625" bestFit="1" customWidth="1"/>
    <col min="4" max="4" width="9.140625" customWidth="1"/>
    <col min="5" max="5" width="14.28515625" bestFit="1" customWidth="1"/>
    <col min="7" max="7" width="11.28515625" bestFit="1" customWidth="1"/>
  </cols>
  <sheetData>
    <row r="1" spans="1:2" x14ac:dyDescent="0.25">
      <c r="A1" s="12" t="s">
        <v>3</v>
      </c>
      <c r="B1" t="s">
        <v>9</v>
      </c>
    </row>
    <row r="2" spans="1:2" x14ac:dyDescent="0.25">
      <c r="A2" s="13">
        <v>1</v>
      </c>
      <c r="B2" s="3">
        <v>780.99</v>
      </c>
    </row>
    <row r="3" spans="1:2" x14ac:dyDescent="0.25">
      <c r="A3" s="13">
        <v>2</v>
      </c>
      <c r="B3" s="3">
        <v>320</v>
      </c>
    </row>
    <row r="4" spans="1:2" x14ac:dyDescent="0.25">
      <c r="A4" s="13">
        <v>3</v>
      </c>
      <c r="B4" s="3">
        <v>256</v>
      </c>
    </row>
    <row r="5" spans="1:2" x14ac:dyDescent="0.25">
      <c r="A5" s="13">
        <v>4</v>
      </c>
      <c r="B5" s="3">
        <v>318.14</v>
      </c>
    </row>
    <row r="6" spans="1:2" x14ac:dyDescent="0.25">
      <c r="A6" s="13">
        <v>5</v>
      </c>
      <c r="B6" s="3">
        <v>241</v>
      </c>
    </row>
    <row r="7" spans="1:2" x14ac:dyDescent="0.25">
      <c r="A7" s="13">
        <v>6</v>
      </c>
      <c r="B7" s="3">
        <v>350</v>
      </c>
    </row>
    <row r="8" spans="1:2" x14ac:dyDescent="0.25">
      <c r="A8" s="13">
        <v>7</v>
      </c>
      <c r="B8" s="3">
        <v>320</v>
      </c>
    </row>
    <row r="9" spans="1:2" x14ac:dyDescent="0.25">
      <c r="A9" s="13">
        <v>8</v>
      </c>
      <c r="B9" s="3">
        <v>240.36</v>
      </c>
    </row>
    <row r="10" spans="1:2" x14ac:dyDescent="0.25">
      <c r="A10" s="13">
        <v>9</v>
      </c>
      <c r="B10" s="3">
        <v>125</v>
      </c>
    </row>
    <row r="11" spans="1:2" x14ac:dyDescent="0.25">
      <c r="A11" s="13">
        <v>10</v>
      </c>
      <c r="B11" s="3">
        <v>163.36000000000001</v>
      </c>
    </row>
    <row r="12" spans="1:2" x14ac:dyDescent="0.25">
      <c r="A12" s="13">
        <v>11</v>
      </c>
      <c r="B12" s="3">
        <v>130</v>
      </c>
    </row>
    <row r="13" spans="1:2" x14ac:dyDescent="0.25">
      <c r="A13" s="13">
        <v>12</v>
      </c>
      <c r="B13" s="3">
        <v>565</v>
      </c>
    </row>
    <row r="14" spans="1:2" x14ac:dyDescent="0.25">
      <c r="A14" s="13" t="s">
        <v>4</v>
      </c>
      <c r="B14" s="3">
        <v>3809.8500000000004</v>
      </c>
    </row>
    <row r="20" spans="1:7" x14ac:dyDescent="0.25">
      <c r="A20" s="10" t="s">
        <v>1</v>
      </c>
      <c r="B20" s="14" t="s">
        <v>2</v>
      </c>
      <c r="C20" s="14"/>
      <c r="D20" s="14"/>
      <c r="E20" s="14"/>
      <c r="F20" s="14"/>
      <c r="G20" s="15"/>
    </row>
    <row r="21" spans="1:7" x14ac:dyDescent="0.25">
      <c r="A21" s="11" t="s">
        <v>3</v>
      </c>
      <c r="B21" s="6" t="s">
        <v>0</v>
      </c>
      <c r="C21" s="6" t="s">
        <v>5</v>
      </c>
      <c r="D21" s="6" t="s">
        <v>6</v>
      </c>
      <c r="E21" s="6" t="s">
        <v>7</v>
      </c>
      <c r="F21" s="6" t="s">
        <v>8</v>
      </c>
      <c r="G21" s="9" t="s">
        <v>4</v>
      </c>
    </row>
    <row r="22" spans="1:7" x14ac:dyDescent="0.25">
      <c r="A22" s="4">
        <v>1</v>
      </c>
      <c r="B22" s="5">
        <v>120</v>
      </c>
      <c r="C22" s="5">
        <v>220</v>
      </c>
      <c r="D22" s="5">
        <v>234.99</v>
      </c>
      <c r="E22" s="5">
        <v>156</v>
      </c>
      <c r="F22" s="5">
        <v>50</v>
      </c>
      <c r="G22" s="5">
        <f t="shared" ref="G22:G34" si="0">SUM(B22:F22)</f>
        <v>780.99</v>
      </c>
    </row>
    <row r="23" spans="1:7" x14ac:dyDescent="0.25">
      <c r="A23" s="1">
        <v>2</v>
      </c>
      <c r="B23" s="2"/>
      <c r="C23" s="2">
        <v>150</v>
      </c>
      <c r="D23" s="2"/>
      <c r="E23" s="2">
        <v>120</v>
      </c>
      <c r="F23" s="2">
        <v>50</v>
      </c>
      <c r="G23" s="2">
        <f t="shared" si="0"/>
        <v>320</v>
      </c>
    </row>
    <row r="24" spans="1:7" x14ac:dyDescent="0.25">
      <c r="A24" s="1">
        <v>3</v>
      </c>
      <c r="B24" s="2"/>
      <c r="C24" s="2">
        <v>50</v>
      </c>
      <c r="D24" s="2"/>
      <c r="E24" s="2">
        <v>156</v>
      </c>
      <c r="F24" s="2">
        <v>50</v>
      </c>
      <c r="G24" s="2">
        <f t="shared" si="0"/>
        <v>256</v>
      </c>
    </row>
    <row r="25" spans="1:7" x14ac:dyDescent="0.25">
      <c r="A25" s="1">
        <v>4</v>
      </c>
      <c r="B25" s="2">
        <v>50</v>
      </c>
      <c r="C25" s="2">
        <v>25</v>
      </c>
      <c r="D25" s="2">
        <v>37.14</v>
      </c>
      <c r="E25" s="2">
        <v>156</v>
      </c>
      <c r="F25" s="2">
        <v>50</v>
      </c>
      <c r="G25" s="2">
        <f t="shared" si="0"/>
        <v>318.14</v>
      </c>
    </row>
    <row r="26" spans="1:7" x14ac:dyDescent="0.25">
      <c r="A26" s="1">
        <v>5</v>
      </c>
      <c r="B26" s="2"/>
      <c r="C26" s="2">
        <v>35</v>
      </c>
      <c r="D26" s="2"/>
      <c r="E26" s="2">
        <v>156</v>
      </c>
      <c r="F26" s="2">
        <v>50</v>
      </c>
      <c r="G26" s="2">
        <f t="shared" si="0"/>
        <v>241</v>
      </c>
    </row>
    <row r="27" spans="1:7" x14ac:dyDescent="0.25">
      <c r="A27" s="1">
        <v>6</v>
      </c>
      <c r="B27" s="2">
        <v>20</v>
      </c>
      <c r="C27" s="2">
        <v>80</v>
      </c>
      <c r="D27" s="2"/>
      <c r="E27" s="2">
        <v>200</v>
      </c>
      <c r="F27" s="2">
        <v>50</v>
      </c>
      <c r="G27" s="2">
        <f t="shared" si="0"/>
        <v>350</v>
      </c>
    </row>
    <row r="28" spans="1:7" x14ac:dyDescent="0.25">
      <c r="A28" s="1">
        <v>7</v>
      </c>
      <c r="B28" s="2"/>
      <c r="C28" s="2">
        <v>250</v>
      </c>
      <c r="D28" s="2">
        <v>20</v>
      </c>
      <c r="E28" s="2"/>
      <c r="F28" s="2">
        <v>50</v>
      </c>
      <c r="G28" s="2">
        <f t="shared" si="0"/>
        <v>320</v>
      </c>
    </row>
    <row r="29" spans="1:7" x14ac:dyDescent="0.25">
      <c r="A29" s="1">
        <v>8</v>
      </c>
      <c r="B29" s="2">
        <v>150</v>
      </c>
      <c r="C29" s="2">
        <v>10.36</v>
      </c>
      <c r="D29" s="2">
        <v>30</v>
      </c>
      <c r="E29" s="2"/>
      <c r="F29" s="2">
        <v>50</v>
      </c>
      <c r="G29" s="2">
        <f t="shared" si="0"/>
        <v>240.36</v>
      </c>
    </row>
    <row r="30" spans="1:7" x14ac:dyDescent="0.25">
      <c r="A30" s="1">
        <v>9</v>
      </c>
      <c r="B30" s="2"/>
      <c r="C30" s="2">
        <v>25</v>
      </c>
      <c r="D30" s="2"/>
      <c r="E30" s="2"/>
      <c r="F30" s="2">
        <v>100</v>
      </c>
      <c r="G30" s="2">
        <f t="shared" si="0"/>
        <v>125</v>
      </c>
    </row>
    <row r="31" spans="1:7" x14ac:dyDescent="0.25">
      <c r="A31" s="1">
        <v>10</v>
      </c>
      <c r="B31" s="2"/>
      <c r="C31" s="2">
        <v>13.36</v>
      </c>
      <c r="D31" s="2">
        <v>80</v>
      </c>
      <c r="E31" s="2">
        <v>20</v>
      </c>
      <c r="F31" s="2">
        <v>50</v>
      </c>
      <c r="G31" s="2">
        <f t="shared" si="0"/>
        <v>163.36000000000001</v>
      </c>
    </row>
    <row r="32" spans="1:7" x14ac:dyDescent="0.25">
      <c r="A32" s="1">
        <v>11</v>
      </c>
      <c r="B32" s="2">
        <v>20</v>
      </c>
      <c r="C32" s="2">
        <v>60</v>
      </c>
      <c r="D32" s="2"/>
      <c r="E32" s="2"/>
      <c r="F32" s="2">
        <v>50</v>
      </c>
      <c r="G32" s="2">
        <f t="shared" si="0"/>
        <v>130</v>
      </c>
    </row>
    <row r="33" spans="1:7" x14ac:dyDescent="0.25">
      <c r="A33" s="1">
        <v>12</v>
      </c>
      <c r="B33" s="2">
        <v>15</v>
      </c>
      <c r="C33" s="2">
        <v>200</v>
      </c>
      <c r="D33" s="2">
        <v>300</v>
      </c>
      <c r="E33" s="2"/>
      <c r="F33" s="2">
        <v>50</v>
      </c>
      <c r="G33" s="2">
        <f t="shared" si="0"/>
        <v>565</v>
      </c>
    </row>
    <row r="34" spans="1:7" x14ac:dyDescent="0.25">
      <c r="A34" s="7" t="s">
        <v>4</v>
      </c>
      <c r="B34" s="8">
        <f>SUM(B22:B33)</f>
        <v>375</v>
      </c>
      <c r="C34" s="8">
        <f>SUM(C22:C33)</f>
        <v>1118.72</v>
      </c>
      <c r="D34" s="8">
        <f>SUM(D22:D33)</f>
        <v>702.13</v>
      </c>
      <c r="E34" s="8">
        <f>SUM(E22:E33)</f>
        <v>964</v>
      </c>
      <c r="F34" s="8">
        <f>SUM(F22:F33)</f>
        <v>650</v>
      </c>
      <c r="G34" s="8">
        <f t="shared" si="0"/>
        <v>3809.85</v>
      </c>
    </row>
  </sheetData>
  <mergeCells count="1">
    <mergeCell ref="B20:G20"/>
  </mergeCells>
  <pageMargins left="0.7" right="0.7" top="0.75" bottom="0.75" header="0.3" footer="0.3"/>
  <ignoredErrors>
    <ignoredError sqref="G22:G33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635B6-352E-411D-92BB-1D3CBEA786DD}">
  <dimension ref="A1:C44"/>
  <sheetViews>
    <sheetView tabSelected="1" workbookViewId="0"/>
  </sheetViews>
  <sheetFormatPr defaultRowHeight="15" x14ac:dyDescent="0.25"/>
  <cols>
    <col min="1" max="1" width="9" bestFit="1" customWidth="1"/>
    <col min="2" max="2" width="22.140625" bestFit="1" customWidth="1"/>
    <col min="3" max="3" width="10.28515625" bestFit="1" customWidth="1"/>
  </cols>
  <sheetData>
    <row r="1" spans="1:3" x14ac:dyDescent="0.25">
      <c r="A1" t="s">
        <v>3</v>
      </c>
      <c r="B1" t="s">
        <v>10</v>
      </c>
      <c r="C1" t="s">
        <v>11</v>
      </c>
    </row>
    <row r="2" spans="1:3" x14ac:dyDescent="0.25">
      <c r="A2">
        <v>1</v>
      </c>
      <c r="B2" s="16" t="s">
        <v>0</v>
      </c>
      <c r="C2">
        <v>120</v>
      </c>
    </row>
    <row r="3" spans="1:3" x14ac:dyDescent="0.25">
      <c r="A3">
        <v>1</v>
      </c>
      <c r="B3" s="16" t="s">
        <v>5</v>
      </c>
      <c r="C3">
        <v>220</v>
      </c>
    </row>
    <row r="4" spans="1:3" x14ac:dyDescent="0.25">
      <c r="A4">
        <v>1</v>
      </c>
      <c r="B4" s="16" t="s">
        <v>6</v>
      </c>
      <c r="C4">
        <v>234.99</v>
      </c>
    </row>
    <row r="5" spans="1:3" x14ac:dyDescent="0.25">
      <c r="A5">
        <v>1</v>
      </c>
      <c r="B5" s="16" t="s">
        <v>7</v>
      </c>
      <c r="C5">
        <v>156</v>
      </c>
    </row>
    <row r="6" spans="1:3" x14ac:dyDescent="0.25">
      <c r="A6">
        <v>1</v>
      </c>
      <c r="B6" s="16" t="s">
        <v>8</v>
      </c>
      <c r="C6">
        <v>50</v>
      </c>
    </row>
    <row r="7" spans="1:3" x14ac:dyDescent="0.25">
      <c r="A7">
        <v>2</v>
      </c>
      <c r="B7" s="16" t="s">
        <v>5</v>
      </c>
      <c r="C7">
        <v>150</v>
      </c>
    </row>
    <row r="8" spans="1:3" x14ac:dyDescent="0.25">
      <c r="A8">
        <v>2</v>
      </c>
      <c r="B8" s="16" t="s">
        <v>7</v>
      </c>
      <c r="C8">
        <v>120</v>
      </c>
    </row>
    <row r="9" spans="1:3" x14ac:dyDescent="0.25">
      <c r="A9">
        <v>2</v>
      </c>
      <c r="B9" s="16" t="s">
        <v>8</v>
      </c>
      <c r="C9">
        <v>50</v>
      </c>
    </row>
    <row r="10" spans="1:3" x14ac:dyDescent="0.25">
      <c r="A10">
        <v>3</v>
      </c>
      <c r="B10" s="16" t="s">
        <v>5</v>
      </c>
      <c r="C10">
        <v>50</v>
      </c>
    </row>
    <row r="11" spans="1:3" x14ac:dyDescent="0.25">
      <c r="A11">
        <v>3</v>
      </c>
      <c r="B11" s="16" t="s">
        <v>7</v>
      </c>
      <c r="C11">
        <v>156</v>
      </c>
    </row>
    <row r="12" spans="1:3" x14ac:dyDescent="0.25">
      <c r="A12">
        <v>3</v>
      </c>
      <c r="B12" s="16" t="s">
        <v>8</v>
      </c>
      <c r="C12">
        <v>50</v>
      </c>
    </row>
    <row r="13" spans="1:3" x14ac:dyDescent="0.25">
      <c r="A13">
        <v>4</v>
      </c>
      <c r="B13" s="16" t="s">
        <v>0</v>
      </c>
      <c r="C13">
        <v>50</v>
      </c>
    </row>
    <row r="14" spans="1:3" x14ac:dyDescent="0.25">
      <c r="A14">
        <v>4</v>
      </c>
      <c r="B14" s="16" t="s">
        <v>5</v>
      </c>
      <c r="C14">
        <v>25</v>
      </c>
    </row>
    <row r="15" spans="1:3" x14ac:dyDescent="0.25">
      <c r="A15">
        <v>4</v>
      </c>
      <c r="B15" s="16" t="s">
        <v>6</v>
      </c>
      <c r="C15">
        <v>37.14</v>
      </c>
    </row>
    <row r="16" spans="1:3" x14ac:dyDescent="0.25">
      <c r="A16">
        <v>4</v>
      </c>
      <c r="B16" s="16" t="s">
        <v>7</v>
      </c>
      <c r="C16">
        <v>156</v>
      </c>
    </row>
    <row r="17" spans="1:3" x14ac:dyDescent="0.25">
      <c r="A17">
        <v>4</v>
      </c>
      <c r="B17" s="16" t="s">
        <v>8</v>
      </c>
      <c r="C17">
        <v>50</v>
      </c>
    </row>
    <row r="18" spans="1:3" x14ac:dyDescent="0.25">
      <c r="A18">
        <v>5</v>
      </c>
      <c r="B18" s="16" t="s">
        <v>5</v>
      </c>
      <c r="C18">
        <v>35</v>
      </c>
    </row>
    <row r="19" spans="1:3" x14ac:dyDescent="0.25">
      <c r="A19">
        <v>5</v>
      </c>
      <c r="B19" s="16" t="s">
        <v>7</v>
      </c>
      <c r="C19">
        <v>156</v>
      </c>
    </row>
    <row r="20" spans="1:3" x14ac:dyDescent="0.25">
      <c r="A20">
        <v>5</v>
      </c>
      <c r="B20" s="16" t="s">
        <v>8</v>
      </c>
      <c r="C20">
        <v>50</v>
      </c>
    </row>
    <row r="21" spans="1:3" x14ac:dyDescent="0.25">
      <c r="A21">
        <v>6</v>
      </c>
      <c r="B21" s="16" t="s">
        <v>0</v>
      </c>
      <c r="C21">
        <v>20</v>
      </c>
    </row>
    <row r="22" spans="1:3" x14ac:dyDescent="0.25">
      <c r="A22">
        <v>6</v>
      </c>
      <c r="B22" s="16" t="s">
        <v>5</v>
      </c>
      <c r="C22">
        <v>80</v>
      </c>
    </row>
    <row r="23" spans="1:3" x14ac:dyDescent="0.25">
      <c r="A23">
        <v>6</v>
      </c>
      <c r="B23" s="16" t="s">
        <v>7</v>
      </c>
      <c r="C23">
        <v>200</v>
      </c>
    </row>
    <row r="24" spans="1:3" x14ac:dyDescent="0.25">
      <c r="A24">
        <v>6</v>
      </c>
      <c r="B24" s="16" t="s">
        <v>8</v>
      </c>
      <c r="C24">
        <v>50</v>
      </c>
    </row>
    <row r="25" spans="1:3" x14ac:dyDescent="0.25">
      <c r="A25">
        <v>7</v>
      </c>
      <c r="B25" s="16" t="s">
        <v>5</v>
      </c>
      <c r="C25">
        <v>250</v>
      </c>
    </row>
    <row r="26" spans="1:3" x14ac:dyDescent="0.25">
      <c r="A26">
        <v>7</v>
      </c>
      <c r="B26" s="16" t="s">
        <v>6</v>
      </c>
      <c r="C26">
        <v>20</v>
      </c>
    </row>
    <row r="27" spans="1:3" x14ac:dyDescent="0.25">
      <c r="A27">
        <v>7</v>
      </c>
      <c r="B27" s="16" t="s">
        <v>8</v>
      </c>
      <c r="C27">
        <v>50</v>
      </c>
    </row>
    <row r="28" spans="1:3" x14ac:dyDescent="0.25">
      <c r="A28">
        <v>8</v>
      </c>
      <c r="B28" s="16" t="s">
        <v>0</v>
      </c>
      <c r="C28">
        <v>150</v>
      </c>
    </row>
    <row r="29" spans="1:3" x14ac:dyDescent="0.25">
      <c r="A29">
        <v>8</v>
      </c>
      <c r="B29" s="16" t="s">
        <v>5</v>
      </c>
      <c r="C29">
        <v>10.36</v>
      </c>
    </row>
    <row r="30" spans="1:3" x14ac:dyDescent="0.25">
      <c r="A30">
        <v>8</v>
      </c>
      <c r="B30" s="16" t="s">
        <v>6</v>
      </c>
      <c r="C30">
        <v>30</v>
      </c>
    </row>
    <row r="31" spans="1:3" x14ac:dyDescent="0.25">
      <c r="A31">
        <v>8</v>
      </c>
      <c r="B31" s="16" t="s">
        <v>8</v>
      </c>
      <c r="C31">
        <v>50</v>
      </c>
    </row>
    <row r="32" spans="1:3" x14ac:dyDescent="0.25">
      <c r="A32">
        <v>9</v>
      </c>
      <c r="B32" s="16" t="s">
        <v>5</v>
      </c>
      <c r="C32">
        <v>25</v>
      </c>
    </row>
    <row r="33" spans="1:3" x14ac:dyDescent="0.25">
      <c r="A33">
        <v>9</v>
      </c>
      <c r="B33" s="16" t="s">
        <v>8</v>
      </c>
      <c r="C33">
        <v>100</v>
      </c>
    </row>
    <row r="34" spans="1:3" x14ac:dyDescent="0.25">
      <c r="A34">
        <v>10</v>
      </c>
      <c r="B34" s="16" t="s">
        <v>5</v>
      </c>
      <c r="C34">
        <v>13.36</v>
      </c>
    </row>
    <row r="35" spans="1:3" x14ac:dyDescent="0.25">
      <c r="A35">
        <v>10</v>
      </c>
      <c r="B35" s="16" t="s">
        <v>6</v>
      </c>
      <c r="C35">
        <v>80</v>
      </c>
    </row>
    <row r="36" spans="1:3" x14ac:dyDescent="0.25">
      <c r="A36">
        <v>10</v>
      </c>
      <c r="B36" s="16" t="s">
        <v>7</v>
      </c>
      <c r="C36">
        <v>20</v>
      </c>
    </row>
    <row r="37" spans="1:3" x14ac:dyDescent="0.25">
      <c r="A37">
        <v>10</v>
      </c>
      <c r="B37" s="16" t="s">
        <v>8</v>
      </c>
      <c r="C37">
        <v>50</v>
      </c>
    </row>
    <row r="38" spans="1:3" x14ac:dyDescent="0.25">
      <c r="A38">
        <v>11</v>
      </c>
      <c r="B38" s="16" t="s">
        <v>0</v>
      </c>
      <c r="C38">
        <v>20</v>
      </c>
    </row>
    <row r="39" spans="1:3" x14ac:dyDescent="0.25">
      <c r="A39">
        <v>11</v>
      </c>
      <c r="B39" s="16" t="s">
        <v>5</v>
      </c>
      <c r="C39">
        <v>60</v>
      </c>
    </row>
    <row r="40" spans="1:3" x14ac:dyDescent="0.25">
      <c r="A40">
        <v>11</v>
      </c>
      <c r="B40" s="16" t="s">
        <v>8</v>
      </c>
      <c r="C40">
        <v>50</v>
      </c>
    </row>
    <row r="41" spans="1:3" x14ac:dyDescent="0.25">
      <c r="A41">
        <v>12</v>
      </c>
      <c r="B41" s="16" t="s">
        <v>0</v>
      </c>
      <c r="C41">
        <v>15</v>
      </c>
    </row>
    <row r="42" spans="1:3" x14ac:dyDescent="0.25">
      <c r="A42">
        <v>12</v>
      </c>
      <c r="B42" s="16" t="s">
        <v>5</v>
      </c>
      <c r="C42">
        <v>200</v>
      </c>
    </row>
    <row r="43" spans="1:3" x14ac:dyDescent="0.25">
      <c r="A43">
        <v>12</v>
      </c>
      <c r="B43" s="16" t="s">
        <v>6</v>
      </c>
      <c r="C43">
        <v>300</v>
      </c>
    </row>
    <row r="44" spans="1:3" x14ac:dyDescent="0.25">
      <c r="A44">
        <v>12</v>
      </c>
      <c r="B44" s="16" t="s">
        <v>8</v>
      </c>
      <c r="C44">
        <v>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84A9B1-5716-41D8-A407-655607B7A8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Jiyoon Kim</dc:creator>
  <cp:lastModifiedBy>Jiyoon Kim</cp:lastModifiedBy>
  <dcterms:created xsi:type="dcterms:W3CDTF">2025-12-05T20:43:56Z</dcterms:created>
  <dcterms:modified xsi:type="dcterms:W3CDTF">2025-12-06T19:02:25Z</dcterms:modified>
</cp:coreProperties>
</file>